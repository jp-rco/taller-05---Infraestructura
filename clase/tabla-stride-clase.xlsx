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álisis STRIDE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'Análisis STRIDE'!$A$4:$L$16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FFFFFF"/>
      <sz val="11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F75B5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8F9FB"/>
      </patternFill>
    </fill>
    <fill>
      <patternFill patternType="solid">
        <fgColor rgb="00D9E2F3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vertical="top" wrapText="1"/>
    </xf>
    <xf numFmtId="1" fontId="0" fillId="5" borderId="1" applyAlignment="1" pivotButton="0" quotePrefix="0" xfId="0">
      <alignment horizontal="center" vertical="top" wrapText="1"/>
    </xf>
    <xf numFmtId="1" fontId="0" fillId="0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vertical="top" wrapText="1"/>
    </xf>
    <xf numFmtId="1" fontId="0" fillId="6" borderId="1" applyAlignment="1" pivotButton="0" quotePrefix="0" xfId="0">
      <alignment horizontal="center" vertical="top" wrapText="1"/>
    </xf>
    <xf numFmtId="0" fontId="4" fillId="7" borderId="1" pivotButton="0" quotePrefix="0" xfId="0"/>
    <xf numFmtId="0" fontId="0" fillId="0" borderId="0" applyAlignment="1" pivotButton="0" quotePrefix="0" xfId="0">
      <alignment wrapText="1"/>
    </xf>
    <xf numFmtId="0" fontId="1" fillId="2" borderId="0" pivotButton="0" quotePrefix="0" xfId="0"/>
    <xf numFmtId="0" fontId="0" fillId="7" borderId="0" applyAlignment="1" pivotButton="0" quotePrefix="0" xfId="0">
      <alignment wrapText="1"/>
    </xf>
    <xf numFmtId="0" fontId="4" fillId="8" borderId="1" pivotButton="0" quotePrefix="0" xfId="0"/>
    <xf numFmtId="0" fontId="0" fillId="8" borderId="1" pivotButton="0" quotePrefix="0" xfId="0"/>
    <xf numFmtId="0" fontId="0" fillId="0" borderId="1" pivotButton="0" quotePrefix="0" xfId="0"/>
    <xf numFmtId="0" fontId="4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DE9D9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OpenAI</author>
  </authors>
  <commentList>
    <comment ref="F4" authorId="0" shapeId="0">
      <text>
        <t>Valora el efecto potencial sobre el negocio, la operación o la confidencialidad.</t>
      </text>
    </comment>
    <comment ref="G4" authorId="0" shapeId="0">
      <text>
        <t>Valora la posibilidad de ocurrencia según exposición y facilidad de explotación.</t>
      </text>
    </comment>
    <comment ref="H4" authorId="0" shapeId="0">
      <text>
        <t>Se calcula automáticamente como Impacto × Probabilidad.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34" customWidth="1" min="4" max="4"/>
    <col width="34" customWidth="1" min="5" max="5"/>
    <col width="10" customWidth="1" min="6" max="6"/>
    <col width="12" customWidth="1" min="7" max="7"/>
    <col width="14" customWidth="1" min="8" max="8"/>
    <col width="42" customWidth="1" min="9" max="9"/>
    <col width="28" customWidth="1" min="10" max="10"/>
    <col width="18" customWidth="1" min="11" max="11"/>
    <col width="14" customWidth="1" min="12" max="12"/>
  </cols>
  <sheetData>
    <row r="1" ht="24" customHeight="1">
      <c r="A1" s="1" t="inlineStr">
        <is>
          <t>Taller 5 – STRIDE (Caso base) | EduKIT</t>
        </is>
      </c>
    </row>
    <row r="2" ht="28" customHeight="1">
      <c r="A2" s="2" t="inlineStr">
        <is>
          <t>Flujo crítico analizado: acceso de estudiantes + publicación/evaluación de contenidos + pagos de suscripción</t>
        </is>
      </c>
    </row>
    <row r="4" ht="28" customHeight="1">
      <c r="A4" s="3" t="inlineStr">
        <is>
          <t>ID</t>
        </is>
      </c>
      <c r="B4" s="3" t="inlineStr">
        <is>
          <t>Componente / Activo</t>
        </is>
      </c>
      <c r="C4" s="3" t="inlineStr">
        <is>
          <t>Tipo STRIDE</t>
        </is>
      </c>
      <c r="D4" s="3" t="inlineStr">
        <is>
          <t>Descripción de la amenaza</t>
        </is>
      </c>
      <c r="E4" s="3" t="inlineStr">
        <is>
          <t>Escenario de ataque</t>
        </is>
      </c>
      <c r="F4" s="3" t="inlineStr">
        <is>
          <t>Impacto</t>
        </is>
      </c>
      <c r="G4" s="3" t="inlineStr">
        <is>
          <t>Probabilidad</t>
        </is>
      </c>
      <c r="H4" s="3" t="inlineStr">
        <is>
          <t>Nivel de riesgo</t>
        </is>
      </c>
      <c r="I4" s="3" t="inlineStr">
        <is>
          <t>Controles de seguridad existentes</t>
        </is>
      </c>
      <c r="J4" s="3" t="inlineStr">
        <is>
          <t>Mitigación recomendada</t>
        </is>
      </c>
      <c r="K4" s="3" t="inlineStr">
        <is>
          <t>Responsable</t>
        </is>
      </c>
      <c r="L4" s="3" t="inlineStr">
        <is>
          <t>Estado</t>
        </is>
      </c>
    </row>
    <row r="5" ht="38" customHeight="1">
      <c r="A5" s="4" t="inlineStr">
        <is>
          <t>E1</t>
        </is>
      </c>
      <c r="B5" s="5" t="inlineStr">
        <is>
          <t>Portal de Estudiantes</t>
        </is>
      </c>
      <c r="C5" s="4" t="inlineStr">
        <is>
          <t>Suplantación</t>
        </is>
      </c>
      <c r="D5" s="6" t="inlineStr">
        <is>
          <t>Ingreso con credenciales robadas para acceder a cursos, evaluaciones y datos académicos.</t>
        </is>
      </c>
      <c r="E5" s="6" t="inlineStr">
        <is>
          <t>Ataques de phishing o reutilización de contraseñas permiten iniciar sesión como un estudiante legítimo.</t>
        </is>
      </c>
      <c r="F5" s="7" t="n">
        <v>4</v>
      </c>
      <c r="G5" s="7" t="n">
        <v>4</v>
      </c>
      <c r="H5" s="8">
        <f>F5*G5</f>
        <v/>
      </c>
      <c r="I5" s="6" t="inlineStr">
        <is>
          <t>Autenticación con MFA para accesos sensibles, política de contraseñas robustas, bloqueo por intentos fallidos, monitoreo de inicios de sesión anómalos.</t>
        </is>
      </c>
      <c r="J5" s="6" t="inlineStr">
        <is>
          <t>Habilitar MFA progresivo, detección de riesgo por dispositivo/IP y campañas de concientización contra phishing.</t>
        </is>
      </c>
      <c r="K5" s="4" t="inlineStr">
        <is>
          <t>Andrés Ricaurte</t>
        </is>
      </c>
      <c r="L5" s="4" t="inlineStr">
        <is>
          <t>Pendiente</t>
        </is>
      </c>
    </row>
    <row r="6" ht="38" customHeight="1">
      <c r="A6" s="9" t="inlineStr">
        <is>
          <t>E2</t>
        </is>
      </c>
      <c r="B6" s="10" t="inlineStr">
        <is>
          <t>Panel de Docentes</t>
        </is>
      </c>
      <c r="C6" s="9" t="inlineStr">
        <is>
          <t>Manipulación</t>
        </is>
      </c>
      <c r="D6" s="11" t="inlineStr">
        <is>
          <t>Alteración no autorizada de calificaciones o contenido publicado.</t>
        </is>
      </c>
      <c r="E6" s="11" t="inlineStr">
        <is>
          <t>Un usuario con sesión comprometida modifica notas o materiales sin autorización.</t>
        </is>
      </c>
      <c r="F6" s="12" t="n">
        <v>5</v>
      </c>
      <c r="G6" s="12" t="n">
        <v>3</v>
      </c>
      <c r="H6" s="8">
        <f>F6*G6</f>
        <v/>
      </c>
      <c r="I6" s="11" t="inlineStr">
        <is>
          <t>Control de acceso por rol, bitácora de cambios, validación del lado servidor, sesiones con expiración.</t>
        </is>
      </c>
      <c r="J6" s="11" t="inlineStr">
        <is>
          <t>Agregar aprobación para cambios críticos, versionado de calificaciones y doble confirmación en acciones sensibles.</t>
        </is>
      </c>
      <c r="K6" s="9" t="inlineStr">
        <is>
          <t>Juan Restrepo</t>
        </is>
      </c>
      <c r="L6" s="9" t="inlineStr">
        <is>
          <t>En análisis</t>
        </is>
      </c>
    </row>
    <row r="7" ht="38" customHeight="1">
      <c r="A7" s="4" t="inlineStr">
        <is>
          <t>E3</t>
        </is>
      </c>
      <c r="B7" s="5" t="inlineStr">
        <is>
          <t>Registro de Evaluaciones</t>
        </is>
      </c>
      <c r="C7" s="4" t="inlineStr">
        <is>
          <t>Repudio</t>
        </is>
      </c>
      <c r="D7" s="6" t="inlineStr">
        <is>
          <t>Un docente niega haber cambiado una calificación o publicado un examen.</t>
        </is>
      </c>
      <c r="E7" s="6" t="inlineStr">
        <is>
          <t>No existe trazabilidad suficiente de quién realizó la acción y desde qué contexto.</t>
        </is>
      </c>
      <c r="F7" s="7" t="n">
        <v>4</v>
      </c>
      <c r="G7" s="7" t="n">
        <v>3</v>
      </c>
      <c r="H7" s="8">
        <f>F7*G7</f>
        <v/>
      </c>
      <c r="I7" s="6" t="inlineStr">
        <is>
          <t>Logs de auditoría con usuario, fecha, IP y acción ejecutada.</t>
        </is>
      </c>
      <c r="J7" s="6" t="inlineStr">
        <is>
          <t>Firmar registros críticos con hash, retención de logs y panel de auditoría consultable por administración.</t>
        </is>
      </c>
      <c r="K7" s="4" t="inlineStr">
        <is>
          <t>Juan Jaime</t>
        </is>
      </c>
      <c r="L7" s="4" t="inlineStr">
        <is>
          <t>En progreso</t>
        </is>
      </c>
    </row>
    <row r="8" ht="38" customHeight="1">
      <c r="A8" s="9" t="inlineStr">
        <is>
          <t>E4</t>
        </is>
      </c>
      <c r="B8" s="10" t="inlineStr">
        <is>
          <t>Base de Datos Académica</t>
        </is>
      </c>
      <c r="C8" s="9" t="inlineStr">
        <is>
          <t>Divulgación de información</t>
        </is>
      </c>
      <c r="D8" s="11" t="inlineStr">
        <is>
          <t>Exposición de datos personales, historial académico o resultados de evaluaciones.</t>
        </is>
      </c>
      <c r="E8" s="11" t="inlineStr">
        <is>
          <t>Consultas inseguras, permisos excesivos o copias de respaldo mal protegidas filtran información sensible.</t>
        </is>
      </c>
      <c r="F8" s="12" t="n">
        <v>5</v>
      </c>
      <c r="G8" s="12" t="n">
        <v>3</v>
      </c>
      <c r="H8" s="8">
        <f>F8*G8</f>
        <v/>
      </c>
      <c r="I8" s="11" t="inlineStr">
        <is>
          <t>Cifrado en tránsito, segmentación de acceso, backups protegidos, principio de mínimo privilegio.</t>
        </is>
      </c>
      <c r="J8" s="11" t="inlineStr">
        <is>
          <t>Cifrado en reposo, revisión de permisos por rol, clasificación de datos y pruebas de acceso no autorizado.</t>
        </is>
      </c>
      <c r="K8" s="9" t="inlineStr">
        <is>
          <t>Andrés Ricaurte</t>
        </is>
      </c>
      <c r="L8" s="9" t="inlineStr">
        <is>
          <t>Pendiente</t>
        </is>
      </c>
    </row>
    <row r="9" ht="38" customHeight="1">
      <c r="A9" s="4" t="inlineStr">
        <is>
          <t>E5</t>
        </is>
      </c>
      <c r="B9" s="5" t="inlineStr">
        <is>
          <t>Servicio de Contenidos</t>
        </is>
      </c>
      <c r="C9" s="4" t="inlineStr">
        <is>
          <t>Denegación de servicio</t>
        </is>
      </c>
      <c r="D9" s="6" t="inlineStr">
        <is>
          <t>Caída del acceso a clases y materiales durante horas pico o inscripciones.</t>
        </is>
      </c>
      <c r="E9" s="6" t="inlineStr">
        <is>
          <t>Picos de tráfico o abuso de recursos saturan el servicio de contenidos.</t>
        </is>
      </c>
      <c r="F9" s="7" t="n">
        <v>4</v>
      </c>
      <c r="G9" s="7" t="n">
        <v>3</v>
      </c>
      <c r="H9" s="8">
        <f>F9*G9</f>
        <v/>
      </c>
      <c r="I9" s="6" t="inlineStr">
        <is>
          <t>Escalado automático, CDN, límites de tasa y monitoreo de capacidad.</t>
        </is>
      </c>
      <c r="J9" s="6" t="inlineStr">
        <is>
          <t>Definir umbrales de autoescalado, pruebas de carga y caché de contenido estático.</t>
        </is>
      </c>
      <c r="K9" s="4" t="inlineStr">
        <is>
          <t>Juan Restrepo</t>
        </is>
      </c>
      <c r="L9" s="4" t="inlineStr">
        <is>
          <t>En análisis</t>
        </is>
      </c>
    </row>
    <row r="10" ht="38" customHeight="1">
      <c r="A10" s="9" t="inlineStr">
        <is>
          <t>E6</t>
        </is>
      </c>
      <c r="B10" s="10" t="inlineStr">
        <is>
          <t>Módulo de Administración</t>
        </is>
      </c>
      <c r="C10" s="9" t="inlineStr">
        <is>
          <t>Elevación de privilegios</t>
        </is>
      </c>
      <c r="D10" s="11" t="inlineStr">
        <is>
          <t>Un usuario común obtiene permisos de administrador.</t>
        </is>
      </c>
      <c r="E10" s="11" t="inlineStr">
        <is>
          <t>Controles débiles en backend o APIs permiten cambiar roles o usar funciones restringidas.</t>
        </is>
      </c>
      <c r="F10" s="12" t="n">
        <v>5</v>
      </c>
      <c r="G10" s="12" t="n">
        <v>2</v>
      </c>
      <c r="H10" s="8">
        <f>F10*G10</f>
        <v/>
      </c>
      <c r="I10" s="11" t="inlineStr">
        <is>
          <t>RBAC, validaciones del lado servidor, revisión de permisos administrativos.</t>
        </is>
      </c>
      <c r="J10" s="11" t="inlineStr">
        <is>
          <t>Separación estricta de roles, revisiones periódicas de permisos y alertas por cambios de privilegios.</t>
        </is>
      </c>
      <c r="K10" s="9" t="inlineStr">
        <is>
          <t>Juan Jaime</t>
        </is>
      </c>
      <c r="L10" s="9" t="inlineStr">
        <is>
          <t>Pendiente</t>
        </is>
      </c>
    </row>
    <row r="11" ht="38" customHeight="1">
      <c r="A11" s="4" t="inlineStr">
        <is>
          <t>E7</t>
        </is>
      </c>
      <c r="B11" s="5" t="inlineStr">
        <is>
          <t>Pasarela de Pagos</t>
        </is>
      </c>
      <c r="C11" s="4" t="inlineStr">
        <is>
          <t>Suplantación</t>
        </is>
      </c>
      <c r="D11" s="6" t="inlineStr">
        <is>
          <t>Uso fraudulento de cuentas o identidades en pagos de suscripción.</t>
        </is>
      </c>
      <c r="E11" s="6" t="inlineStr">
        <is>
          <t>Credenciales comprometidas permiten vincular métodos de pago no autorizados.</t>
        </is>
      </c>
      <c r="F11" s="7" t="n">
        <v>4</v>
      </c>
      <c r="G11" s="7" t="n">
        <v>2</v>
      </c>
      <c r="H11" s="8">
        <f>F11*G11</f>
        <v/>
      </c>
      <c r="I11" s="6" t="inlineStr">
        <is>
          <t>Validación antifraude, tokenización y verificación adicional en pagos.</t>
        </is>
      </c>
      <c r="J11" s="6" t="inlineStr">
        <is>
          <t>Alertas de actividad sospechosa, verificación reforzada y conciliación diaria de transacciones.</t>
        </is>
      </c>
      <c r="K11" s="4" t="inlineStr">
        <is>
          <t>Andrés Ricaurte</t>
        </is>
      </c>
      <c r="L11" s="4" t="inlineStr">
        <is>
          <t>En progreso</t>
        </is>
      </c>
    </row>
    <row r="12" ht="38" customHeight="1">
      <c r="A12" s="9" t="inlineStr">
        <is>
          <t>E8</t>
        </is>
      </c>
      <c r="B12" s="10" t="inlineStr">
        <is>
          <t>API de Cursos</t>
        </is>
      </c>
      <c r="C12" s="9" t="inlineStr">
        <is>
          <t>Manipulación</t>
        </is>
      </c>
      <c r="D12" s="11" t="inlineStr">
        <is>
          <t>Parámetros alterados para acceder o modificar recursos fuera del alcance del usuario.</t>
        </is>
      </c>
      <c r="E12" s="11" t="inlineStr">
        <is>
          <t>Un atacante modifica identificadores o payloads para consultar cursos ajenos.</t>
        </is>
      </c>
      <c r="F12" s="12" t="n">
        <v>4</v>
      </c>
      <c r="G12" s="12" t="n">
        <v>3</v>
      </c>
      <c r="H12" s="8">
        <f>F12*G12</f>
        <v/>
      </c>
      <c r="I12" s="11" t="inlineStr">
        <is>
          <t>Validación de entradas, autorización por objeto y pruebas de seguridad en APIs.</t>
        </is>
      </c>
      <c r="J12" s="11" t="inlineStr">
        <is>
          <t>Implementar controles anti-IDOR, esquemas de autorización centralizada y pruebas automatizadas de APIs.</t>
        </is>
      </c>
      <c r="K12" s="9" t="inlineStr">
        <is>
          <t>Juan Restrepo</t>
        </is>
      </c>
      <c r="L12" s="9" t="inlineStr">
        <is>
          <t>Pendiente</t>
        </is>
      </c>
    </row>
    <row r="13" ht="38" customHeight="1">
      <c r="A13" s="4" t="inlineStr">
        <is>
          <t>E9</t>
        </is>
      </c>
      <c r="B13" s="5" t="inlineStr">
        <is>
          <t>Historial de Actividad</t>
        </is>
      </c>
      <c r="C13" s="4" t="inlineStr">
        <is>
          <t>Repudio</t>
        </is>
      </c>
      <c r="D13" s="6" t="inlineStr">
        <is>
          <t>El estudiante niega haber enviado una evaluación o haber aceptado términos.</t>
        </is>
      </c>
      <c r="E13" s="6" t="inlineStr">
        <is>
          <t>La plataforma no conserva evidencia verificable del evento realizado.</t>
        </is>
      </c>
      <c r="F13" s="7" t="n">
        <v>3</v>
      </c>
      <c r="G13" s="7" t="n">
        <v>3</v>
      </c>
      <c r="H13" s="8">
        <f>F13*G13</f>
        <v/>
      </c>
      <c r="I13" s="6" t="inlineStr">
        <is>
          <t>Registro de eventos, sellado temporal, almacenamiento de evidencias.</t>
        </is>
      </c>
      <c r="J13" s="6" t="inlineStr">
        <is>
          <t>Conservar evidencias de envío, hash de entregas y notificaciones automáticas de acciones críticas.</t>
        </is>
      </c>
      <c r="K13" s="4" t="inlineStr">
        <is>
          <t>Juan Jaime</t>
        </is>
      </c>
      <c r="L13" s="4" t="inlineStr">
        <is>
          <t>En análisis</t>
        </is>
      </c>
    </row>
    <row r="14" ht="38" customHeight="1">
      <c r="A14" s="9" t="inlineStr">
        <is>
          <t>E10</t>
        </is>
      </c>
      <c r="B14" s="10" t="inlineStr">
        <is>
          <t>Repositorio de Materiales</t>
        </is>
      </c>
      <c r="C14" s="9" t="inlineStr">
        <is>
          <t>Divulgación de información</t>
        </is>
      </c>
      <c r="D14" s="11" t="inlineStr">
        <is>
          <t>Descarga no autorizada de material restringido o respuestas de exámenes.</t>
        </is>
      </c>
      <c r="E14" s="11" t="inlineStr">
        <is>
          <t>Enlaces públicos o controles deficientes permiten compartir archivos internos.</t>
        </is>
      </c>
      <c r="F14" s="12" t="n">
        <v>4</v>
      </c>
      <c r="G14" s="12" t="n">
        <v>3</v>
      </c>
      <c r="H14" s="8">
        <f>F14*G14</f>
        <v/>
      </c>
      <c r="I14" s="11" t="inlineStr">
        <is>
          <t>URLs temporales, permisos por curso, expiración de enlaces.</t>
        </is>
      </c>
      <c r="J14" s="11" t="inlineStr">
        <is>
          <t>Controlar acceso por sesión, watermarking en materiales sensibles y revisión de almacenamiento público.</t>
        </is>
      </c>
      <c r="K14" s="9" t="inlineStr">
        <is>
          <t>Andrés Ricaurte</t>
        </is>
      </c>
      <c r="L14" s="9" t="inlineStr">
        <is>
          <t>En progreso</t>
        </is>
      </c>
    </row>
    <row r="15" ht="38" customHeight="1">
      <c r="A15" s="4" t="inlineStr">
        <is>
          <t>E11</t>
        </is>
      </c>
      <c r="B15" s="5" t="inlineStr">
        <is>
          <t>Servicio de Autenticación</t>
        </is>
      </c>
      <c r="C15" s="4" t="inlineStr">
        <is>
          <t>Denegación de servicio</t>
        </is>
      </c>
      <c r="D15" s="6" t="inlineStr">
        <is>
          <t>Bloqueo del acceso general a la plataforma por saturación del login.</t>
        </is>
      </c>
      <c r="E15" s="6" t="inlineStr">
        <is>
          <t>Ataques de fuerza bruta o picos masivos de autenticación degradan el servicio.</t>
        </is>
      </c>
      <c r="F15" s="7" t="n">
        <v>5</v>
      </c>
      <c r="G15" s="7" t="n">
        <v>3</v>
      </c>
      <c r="H15" s="8">
        <f>F15*G15</f>
        <v/>
      </c>
      <c r="I15" s="6" t="inlineStr">
        <is>
          <t>Rate limiting, CAPTCHA adaptativo, monitoreo de autenticación.</t>
        </is>
      </c>
      <c r="J15" s="6" t="inlineStr">
        <is>
          <t>Separar autenticación en servicio escalable, protección anti-bots y caché de sesiones.</t>
        </is>
      </c>
      <c r="K15" s="4" t="inlineStr">
        <is>
          <t>Juan Restrepo</t>
        </is>
      </c>
      <c r="L15" s="4" t="inlineStr">
        <is>
          <t>Pendiente</t>
        </is>
      </c>
    </row>
    <row r="16" ht="38" customHeight="1">
      <c r="A16" s="9" t="inlineStr">
        <is>
          <t>E12</t>
        </is>
      </c>
      <c r="B16" s="10" t="inlineStr">
        <is>
          <t>Consola de Soporte</t>
        </is>
      </c>
      <c r="C16" s="9" t="inlineStr">
        <is>
          <t>Elevación de privilegios</t>
        </is>
      </c>
      <c r="D16" s="11" t="inlineStr">
        <is>
          <t>El personal de soporte accede a funciones no autorizadas sobre cuentas académicas.</t>
        </is>
      </c>
      <c r="E16" s="11" t="inlineStr">
        <is>
          <t>Cuentas compartidas o permisos sobrantes permiten acciones fuera del rol.</t>
        </is>
      </c>
      <c r="F16" s="12" t="n">
        <v>4</v>
      </c>
      <c r="G16" s="12" t="n">
        <v>3</v>
      </c>
      <c r="H16" s="8">
        <f>F16*G16</f>
        <v/>
      </c>
      <c r="I16" s="11" t="inlineStr">
        <is>
          <t>Cuentas individuales, segregación de funciones, revisiones de acceso.</t>
        </is>
      </c>
      <c r="J16" s="11" t="inlineStr">
        <is>
          <t>Recertificación trimestral de accesos, MFA obligatorio y aprobación para operaciones delicadas.</t>
        </is>
      </c>
      <c r="K16" s="9" t="inlineStr">
        <is>
          <t>Juan Jaime</t>
        </is>
      </c>
      <c r="L16" s="9" t="inlineStr">
        <is>
          <t>En progreso</t>
        </is>
      </c>
    </row>
    <row r="18">
      <c r="A18" s="13" t="inlineStr">
        <is>
          <t>Escala sugerida</t>
        </is>
      </c>
    </row>
    <row r="19">
      <c r="A19" s="14" t="inlineStr">
        <is>
          <t>Impacto / Probabilidad: 1 = Muy bajo, 2 = Bajo, 3 = Medio, 4 = Alto, 5 = Muy alto</t>
        </is>
      </c>
    </row>
    <row r="20">
      <c r="A20" s="14" t="inlineStr">
        <is>
          <t>Nivel de riesgo = Impacto × Probabilidad</t>
        </is>
      </c>
    </row>
    <row r="21">
      <c r="A21" s="14" t="inlineStr">
        <is>
          <t>Semáforo orientativo: 1–5 Bajo, 6–12 Medio, 13–25 Alto</t>
        </is>
      </c>
    </row>
  </sheetData>
  <autoFilter ref="A4:L16"/>
  <mergeCells count="6">
    <mergeCell ref="A2:L2"/>
    <mergeCell ref="A18:D18"/>
    <mergeCell ref="A21:H21"/>
    <mergeCell ref="A20:H20"/>
    <mergeCell ref="A1:L1"/>
    <mergeCell ref="A19:H19"/>
  </mergeCells>
  <conditionalFormatting sqref="H5:H16">
    <cfRule type="colorScale" priority="1">
      <colorScale>
        <cfvo type="num" val="1"/>
        <cfvo type="num" val="10"/>
        <cfvo type="num" val="25"/>
        <color rgb="00C6EFCE"/>
        <color rgb="00FFEB84"/>
        <color rgb="00F8696B"/>
      </colorScale>
    </cfRule>
  </conditionalFormatting>
  <conditionalFormatting sqref="A5:L16">
    <cfRule type="expression" priority="2" dxfId="0" stopIfTrue="0">
      <formula>$H5&gt;=15</formula>
    </cfRule>
    <cfRule type="expression" priority="3" dxfId="1" stopIfTrue="0">
      <formula>$L5="Mitigado"</formula>
    </cfRule>
  </conditionalFormatting>
  <dataValidations count="4">
    <dataValidation sqref="C5:C16" showDropDown="0" showInputMessage="0" showErrorMessage="0" allowBlank="0" type="list">
      <formula1>"Suplantación,Manipulación,Repudio,Divulgación de información,Denegación de servicio,Elevación de privilegios"</formula1>
    </dataValidation>
    <dataValidation sqref="F5:G16" showDropDown="0" showInputMessage="0" showErrorMessage="0" allowBlank="0" type="whole" operator="between">
      <formula1>1</formula1>
      <formula2>5</formula2>
    </dataValidation>
    <dataValidation sqref="L5:L16" showDropDown="0" showInputMessage="0" showErrorMessage="0" allowBlank="0" type="list">
      <formula1>"Pendiente,En análisis,En progreso,Mitigado"</formula1>
    </dataValidation>
    <dataValidation sqref="K5:K16" showDropDown="0" showInputMessage="0" showErrorMessage="0" allowBlank="0" type="list">
      <formula1>"Andrés Ricaurte,Juan Restrepo,Juan Jaime"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5" customWidth="1" min="3" max="3"/>
    <col width="22" customWidth="1" min="4" max="4"/>
    <col width="34" customWidth="1" min="5" max="5"/>
    <col width="10" customWidth="1" min="6" max="6"/>
  </cols>
  <sheetData>
    <row r="1">
      <c r="A1" s="15" t="inlineStr">
        <is>
          <t>Resumen Ejecutivo</t>
        </is>
      </c>
    </row>
    <row r="2">
      <c r="A2" s="16" t="inlineStr">
        <is>
          <t>Flujo crítico analizado: acceso de estudiantes + publicación/evaluación de contenidos + pagos de suscripción</t>
        </is>
      </c>
    </row>
    <row r="4">
      <c r="A4" s="17" t="inlineStr">
        <is>
          <t>Total de amenazas</t>
        </is>
      </c>
      <c r="B4" s="18">
        <f>COUNTA('Análisis STRIDE'!A5:A16)</f>
        <v/>
      </c>
      <c r="C4" s="18" t="n"/>
      <c r="D4" s="18" t="inlineStr">
        <is>
          <t>Amenaza con mayor riesgo</t>
        </is>
      </c>
      <c r="E4" s="18">
        <f>INDEX('Análisis STRIDE'!D5:D16,MATCH(MAX('Análisis STRIDE'!H5:H16),'Análisis STRIDE'!H5:H16,0))</f>
        <v/>
      </c>
    </row>
    <row r="5">
      <c r="A5" s="17" t="inlineStr">
        <is>
          <t>Riesgo alto (&gt;=13)</t>
        </is>
      </c>
      <c r="B5" s="18">
        <f>COUNTIF('Análisis STRIDE'!H5:H16,"&gt;=13")</f>
        <v/>
      </c>
      <c r="C5" s="18" t="n"/>
      <c r="D5" s="18" t="inlineStr">
        <is>
          <t>Componente crítico</t>
        </is>
      </c>
      <c r="E5" s="18">
        <f>INDEX('Análisis STRIDE'!B5:B16,MATCH(MAX('Análisis STRIDE'!H5:H16),'Análisis STRIDE'!H5:H16,0))</f>
        <v/>
      </c>
    </row>
    <row r="6">
      <c r="A6" s="17" t="inlineStr">
        <is>
          <t>Riesgo medio (6-12)</t>
        </is>
      </c>
      <c r="B6" s="18">
        <f>COUNTIFS('Análisis STRIDE'!H5:H16,"&gt;=6",'Análisis STRIDE'!H5:H16,"&lt;=12")</f>
        <v/>
      </c>
      <c r="C6" s="18" t="n"/>
      <c r="D6" s="18" t="inlineStr">
        <is>
          <t>Promedio de riesgo</t>
        </is>
      </c>
      <c r="E6" s="18">
        <f>ROUND(AVERAGE('Análisis STRIDE'!H5:H16),1)</f>
        <v/>
      </c>
    </row>
    <row r="7">
      <c r="A7" s="17" t="inlineStr">
        <is>
          <t>Riesgo bajo (1-5)</t>
        </is>
      </c>
      <c r="B7" s="18">
        <f>COUNTIFS('Análisis STRIDE'!H5:H16,"&gt;=1",'Análisis STRIDE'!H5:H16,"&lt;=5")</f>
        <v/>
      </c>
      <c r="C7" s="18" t="n"/>
      <c r="D7" s="18" t="inlineStr">
        <is>
          <t>Estado más frecuente</t>
        </is>
      </c>
      <c r="E7" s="18" t="n"/>
    </row>
    <row r="8">
      <c r="A8" s="19" t="n"/>
      <c r="B8" s="19" t="n"/>
      <c r="C8" s="19" t="n"/>
      <c r="D8" s="19" t="n"/>
      <c r="E8" s="19" t="n"/>
    </row>
    <row r="9">
      <c r="A9" s="17" t="inlineStr">
        <is>
          <t>Responsable</t>
        </is>
      </c>
      <c r="B9" s="18" t="inlineStr">
        <is>
          <t>Cantidad</t>
        </is>
      </c>
      <c r="C9" s="18" t="n"/>
      <c r="D9" s="18" t="inlineStr">
        <is>
          <t>Estado</t>
        </is>
      </c>
      <c r="E9" s="18" t="inlineStr">
        <is>
          <t>Cantidad</t>
        </is>
      </c>
    </row>
    <row r="10">
      <c r="A10" s="20" t="inlineStr">
        <is>
          <t>Andrés Ricaurte</t>
        </is>
      </c>
      <c r="B10" s="19">
        <f>COUNTIF('Análisis STRIDE'!K5:K16,A10)</f>
        <v/>
      </c>
      <c r="C10" s="19" t="n"/>
      <c r="D10" s="19" t="inlineStr">
        <is>
          <t>Pendiente</t>
        </is>
      </c>
      <c r="E10" s="19">
        <f>COUNTIF('Análisis STRIDE'!L5:L16,D10)</f>
        <v/>
      </c>
    </row>
    <row r="11">
      <c r="A11" s="20" t="inlineStr">
        <is>
          <t>Juan Restrepo</t>
        </is>
      </c>
      <c r="B11" s="19">
        <f>COUNTIF('Análisis STRIDE'!K5:K16,A11)</f>
        <v/>
      </c>
      <c r="C11" s="19" t="n"/>
      <c r="D11" s="19" t="inlineStr">
        <is>
          <t>En análisis</t>
        </is>
      </c>
      <c r="E11" s="19">
        <f>COUNTIF('Análisis STRIDE'!L5:L16,D11)</f>
        <v/>
      </c>
    </row>
    <row r="12">
      <c r="A12" s="20" t="inlineStr">
        <is>
          <t>Juan Jaime</t>
        </is>
      </c>
      <c r="B12" s="19">
        <f>COUNTIF('Análisis STRIDE'!K5:K16,A12)</f>
        <v/>
      </c>
      <c r="C12" s="19" t="n"/>
      <c r="D12" s="19" t="inlineStr">
        <is>
          <t>En progreso</t>
        </is>
      </c>
      <c r="E12" s="19">
        <f>COUNTIF('Análisis STRIDE'!L5:L16,D12)</f>
        <v/>
      </c>
    </row>
    <row r="13">
      <c r="A13" s="19" t="n"/>
      <c r="B13" s="19" t="n"/>
      <c r="C13" s="19" t="n"/>
      <c r="D13" s="19" t="inlineStr">
        <is>
          <t>Mitigado</t>
        </is>
      </c>
      <c r="E13" s="19">
        <f>COUNTIF('Análisis STRIDE'!L5:L16,D13)</f>
        <v/>
      </c>
    </row>
    <row r="15">
      <c r="A15" s="21" t="inlineStr">
        <is>
          <t>Integrantes encargados</t>
        </is>
      </c>
    </row>
    <row r="16">
      <c r="A16" t="inlineStr">
        <is>
          <t>- Andrés Ricaurte</t>
        </is>
      </c>
    </row>
    <row r="17">
      <c r="A17" t="inlineStr">
        <is>
          <t>- Juan Restrepo</t>
        </is>
      </c>
    </row>
    <row r="18">
      <c r="A18" t="inlineStr">
        <is>
          <t>- Juan Jaime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2026-03-14T13:31:51Z</dcterms:created>
  <dcterms:modified xmlns:dcterms="http://purl.org/dc/terms/" xmlns:xsi="http://www.w3.org/2001/XMLSchema-instance" xsi:type="dcterms:W3CDTF">2026-03-14T13:31:51Z</dcterms:modified>
</cp:coreProperties>
</file>